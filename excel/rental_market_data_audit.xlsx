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de\Data Science Projects\Ontario_Rental_Market_Intelligence\excel\"/>
    </mc:Choice>
  </mc:AlternateContent>
  <xr:revisionPtr revIDLastSave="0" documentId="13_ncr:1_{2CC727C5-65E9-4DBA-8D76-4BC2BA24F981}" xr6:coauthVersionLast="47" xr6:coauthVersionMax="47" xr10:uidLastSave="{00000000-0000-0000-0000-000000000000}"/>
  <bookViews>
    <workbookView xWindow="-110" yWindow="-110" windowWidth="19420" windowHeight="10300" firstSheet="1" activeTab="3" xr2:uid="{3807EF77-3EC0-485D-B61C-9B6F427BE0F9}"/>
  </bookViews>
  <sheets>
    <sheet name="01_Source_Inventory" sheetId="1" r:id="rId1"/>
    <sheet name="02_Data_Dictionary" sheetId="2" r:id="rId2"/>
    <sheet name="03_Geography_Crosswalk" sheetId="3" r:id="rId3"/>
    <sheet name="04_QA_Chec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" i="4" l="1"/>
  <c r="U4" i="4"/>
  <c r="U3" i="4"/>
  <c r="U2" i="4"/>
  <c r="R3" i="4"/>
  <c r="R4" i="4"/>
  <c r="R2" i="4"/>
  <c r="Q3" i="4"/>
  <c r="Q4" i="4"/>
  <c r="Q2" i="4"/>
  <c r="K3" i="3"/>
  <c r="K4" i="3"/>
  <c r="K5" i="3"/>
  <c r="K2" i="3"/>
  <c r="J3" i="3"/>
  <c r="J4" i="3"/>
  <c r="J5" i="3"/>
  <c r="J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L4" i="2"/>
  <c r="L3" i="2"/>
  <c r="L2" i="2"/>
  <c r="I2" i="2"/>
  <c r="I3" i="2"/>
  <c r="I4" i="2"/>
  <c r="I5" i="2"/>
  <c r="I6" i="2"/>
  <c r="I7" i="2"/>
  <c r="I8" i="2"/>
  <c r="I9" i="2"/>
  <c r="I10" i="2"/>
  <c r="I11" i="2"/>
  <c r="J2" i="1"/>
  <c r="N3" i="1"/>
  <c r="N2" i="1"/>
  <c r="K2" i="1"/>
  <c r="N4" i="1"/>
  <c r="K3" i="1"/>
  <c r="K4" i="1"/>
  <c r="K5" i="1"/>
  <c r="K6" i="1"/>
  <c r="K7" i="1"/>
  <c r="K8" i="1"/>
  <c r="K9" i="1"/>
  <c r="J3" i="1"/>
  <c r="J4" i="1"/>
  <c r="J5" i="1"/>
  <c r="J6" i="1"/>
  <c r="J7" i="1"/>
  <c r="J8" i="1"/>
  <c r="J9" i="1"/>
</calcChain>
</file>

<file path=xl/sharedStrings.xml><?xml version="1.0" encoding="utf-8"?>
<sst xmlns="http://schemas.openxmlformats.org/spreadsheetml/2006/main" count="325" uniqueCount="195">
  <si>
    <t>Source_ID</t>
  </si>
  <si>
    <t>Dataset</t>
  </si>
  <si>
    <t>Source_Organization</t>
  </si>
  <si>
    <t>File_Name</t>
  </si>
  <si>
    <t>Edition_Year</t>
  </si>
  <si>
    <t>File_Type</t>
  </si>
  <si>
    <t>Expected_Start_Year</t>
  </si>
  <si>
    <t>Expected_End_Year</t>
  </si>
  <si>
    <t>Validation_Status</t>
  </si>
  <si>
    <t>CMHC</t>
  </si>
  <si>
    <t>CMHC_2019</t>
  </si>
  <si>
    <t>CMHC_2020</t>
  </si>
  <si>
    <t>CMHC_2021</t>
  </si>
  <si>
    <t>CMHC_2022</t>
  </si>
  <si>
    <t>CMHC_2023</t>
  </si>
  <si>
    <t>CMHC_2024</t>
  </si>
  <si>
    <t>CMHC_2025</t>
  </si>
  <si>
    <t>STATCAN_T1FF</t>
  </si>
  <si>
    <t>Statistics Canada</t>
  </si>
  <si>
    <t>Rental Market Survey</t>
  </si>
  <si>
    <t>T1 Family Tile</t>
  </si>
  <si>
    <t>rmr-ontario-2019-en.xlsx</t>
  </si>
  <si>
    <t>rmr-ontario-2020-en.xlsx</t>
  </si>
  <si>
    <t>rmr-ontario-2021-en.xlsx</t>
  </si>
  <si>
    <t>rmr-ontario-2022-en.xlsx</t>
  </si>
  <si>
    <t>rmr-ontario-2023-en.xlsx</t>
  </si>
  <si>
    <t>rmr-ontario-2024-en.xlsx</t>
  </si>
  <si>
    <t>rmr-ontario-2025-en.xlsx</t>
  </si>
  <si>
    <t>11100017.csv</t>
  </si>
  <si>
    <t>XLSX</t>
  </si>
  <si>
    <t>CSV</t>
  </si>
  <si>
    <t>Validated</t>
  </si>
  <si>
    <t>Coverage_Years</t>
  </si>
  <si>
    <t>Coverage_Check</t>
  </si>
  <si>
    <t>Source Control Summary</t>
  </si>
  <si>
    <t>Value</t>
  </si>
  <si>
    <t>Total Sources</t>
  </si>
  <si>
    <t>Validated Sources</t>
  </si>
  <si>
    <t>Sources Requiring Review</t>
  </si>
  <si>
    <t>Field_Name</t>
  </si>
  <si>
    <t>Source</t>
  </si>
  <si>
    <t>Source_Measure</t>
  </si>
  <si>
    <t xml:space="preserve">Description </t>
  </si>
  <si>
    <t>Data_Type</t>
  </si>
  <si>
    <t>Unit</t>
  </si>
  <si>
    <t>Nullable</t>
  </si>
  <si>
    <t>Transformation_Rule</t>
  </si>
  <si>
    <t>year</t>
  </si>
  <si>
    <t>CMHC / StatsCan</t>
  </si>
  <si>
    <t>Reference period</t>
  </si>
  <si>
    <t>Calendar/reference year of observation</t>
  </si>
  <si>
    <t>INTEGER</t>
  </si>
  <si>
    <t>Year</t>
  </si>
  <si>
    <t>No</t>
  </si>
  <si>
    <t>Extract standardized 4-digit year</t>
  </si>
  <si>
    <t>market</t>
  </si>
  <si>
    <t>Geography</t>
  </si>
  <si>
    <t>Standardized Ontario rental market</t>
  </si>
  <si>
    <t>TEXT</t>
  </si>
  <si>
    <t>N/A</t>
  </si>
  <si>
    <t>Map source geography to standard market name using geography crosswalk</t>
  </si>
  <si>
    <t>unit_type</t>
  </si>
  <si>
    <t>Bedroom type</t>
  </si>
  <si>
    <t>Rental apartment bedroom category</t>
  </si>
  <si>
    <t>Standardize Bachelor to Studio; retain 1 Bedroom, 2 Bedroom, 3 Bedroom+ and Total</t>
  </si>
  <si>
    <t>average_rent</t>
  </si>
  <si>
    <t>Average Rent</t>
  </si>
  <si>
    <t>Average monthly rent for private rental apartments</t>
  </si>
  <si>
    <t>NUMERIC</t>
  </si>
  <si>
    <t>CAD/month</t>
  </si>
  <si>
    <t>Yes</t>
  </si>
  <si>
    <t>Convert valid numeric values; suppression/non-numeric codes become NULL with status retained during staging</t>
  </si>
  <si>
    <t>vacancy_rate</t>
  </si>
  <si>
    <t>Vacancy Rate</t>
  </si>
  <si>
    <t>Percentage of private rental apartment units vacant</t>
  </si>
  <si>
    <t>Percent</t>
  </si>
  <si>
    <t>Convert valid values to numeric; preserve suppressed/unavailable status during staging</t>
  </si>
  <si>
    <t>rental_universe</t>
  </si>
  <si>
    <t>Rental Universe</t>
  </si>
  <si>
    <t>Estimated number of private rental apartment units</t>
  </si>
  <si>
    <t>Units</t>
  </si>
  <si>
    <t>Convert valid values to integer; preserve suppressed/unavailable status during staging</t>
  </si>
  <si>
    <t>rent_change_pct</t>
  </si>
  <si>
    <t>Percentage Change in Average Rent</t>
  </si>
  <si>
    <t>Reported annual percentage change in average rent</t>
  </si>
  <si>
    <t>Convert valid values to numeric; preserve source suppression/reliability information</t>
  </si>
  <si>
    <t>turnover_rate</t>
  </si>
  <si>
    <t>Turnover Rate</t>
  </si>
  <si>
    <t>Percentage of rental units where tenant turnover occurred</t>
  </si>
  <si>
    <t>median_after_tax_family_income</t>
  </si>
  <si>
    <t>StatsCan</t>
  </si>
  <si>
    <t>Median after-tax income of families</t>
  </si>
  <si>
    <t>Median annual after-tax family income for selected market and year</t>
  </si>
  <si>
    <t>CAD/year</t>
  </si>
  <si>
    <t>Filter to selected family-unit definition and standardized Ontario markets</t>
  </si>
  <si>
    <t>reliability_status</t>
  </si>
  <si>
    <t>Reliability / suppression indicator</t>
  </si>
  <si>
    <t>Source quality or availability status associated with reported CMHC observation</t>
  </si>
  <si>
    <t>Standardize CMHC reliability and suppression codes without treating them as numeric values</t>
  </si>
  <si>
    <t>Definition_Check</t>
  </si>
  <si>
    <t>Dictionary Control Summary</t>
  </si>
  <si>
    <t>Total Fields</t>
  </si>
  <si>
    <t>Complete Definitions</t>
  </si>
  <si>
    <t>Incomplete Definitions</t>
  </si>
  <si>
    <t>Market_ID</t>
  </si>
  <si>
    <t>Standard_Market</t>
  </si>
  <si>
    <t>CMHC_Market</t>
  </si>
  <si>
    <t>StatsCan_Market</t>
  </si>
  <si>
    <t>Province</t>
  </si>
  <si>
    <t>Mapping_Status</t>
  </si>
  <si>
    <t>ON001</t>
  </si>
  <si>
    <t>Barrie</t>
  </si>
  <si>
    <t>ON</t>
  </si>
  <si>
    <t>ON002</t>
  </si>
  <si>
    <t>Belleville–Quinte West</t>
  </si>
  <si>
    <t>ON003</t>
  </si>
  <si>
    <t>Brantford</t>
  </si>
  <si>
    <t>ON004</t>
  </si>
  <si>
    <t>Greater Sudbury</t>
  </si>
  <si>
    <t>ON005</t>
  </si>
  <si>
    <t>Guelph</t>
  </si>
  <si>
    <t>ON006</t>
  </si>
  <si>
    <t>Hamilton</t>
  </si>
  <si>
    <t>ON007</t>
  </si>
  <si>
    <t>Kingston</t>
  </si>
  <si>
    <t>ON008</t>
  </si>
  <si>
    <t>Kitchener–Cambridge–Waterloo</t>
  </si>
  <si>
    <t>ON009</t>
  </si>
  <si>
    <t>London</t>
  </si>
  <si>
    <t>ON010</t>
  </si>
  <si>
    <t>Oshawa</t>
  </si>
  <si>
    <t>ON011</t>
  </si>
  <si>
    <t>Ottawa–Gatineau (Ontario part)</t>
  </si>
  <si>
    <t>Ottawa–Gatineau, Ontario part</t>
  </si>
  <si>
    <t>ON012</t>
  </si>
  <si>
    <t>St. Catharines–Niagara</t>
  </si>
  <si>
    <t>ON013</t>
  </si>
  <si>
    <t>Thunder Bay</t>
  </si>
  <si>
    <t>ON014</t>
  </si>
  <si>
    <t>Toronto</t>
  </si>
  <si>
    <t>ON015</t>
  </si>
  <si>
    <t>Windsor</t>
  </si>
  <si>
    <t>Source_System</t>
  </si>
  <si>
    <t>Test_Source_Market</t>
  </si>
  <si>
    <t>Returned_Market_ID</t>
  </si>
  <si>
    <t>Returned_Standard_Market</t>
  </si>
  <si>
    <t>QA_ID</t>
  </si>
  <si>
    <t>QA_Checks</t>
  </si>
  <si>
    <t>Status</t>
  </si>
  <si>
    <t>Notes</t>
  </si>
  <si>
    <t>Expected_Result</t>
  </si>
  <si>
    <t>Actual_Result</t>
  </si>
  <si>
    <t>QA01</t>
  </si>
  <si>
    <t>QA02</t>
  </si>
  <si>
    <t>QA03</t>
  </si>
  <si>
    <t>QA04</t>
  </si>
  <si>
    <t>QA05</t>
  </si>
  <si>
    <t>QA06</t>
  </si>
  <si>
    <t>Crosswalk</t>
  </si>
  <si>
    <t>Annual source files present</t>
  </si>
  <si>
    <t>7 files</t>
  </si>
  <si>
    <t>Edition years complete</t>
  </si>
  <si>
    <t>2019-2025</t>
  </si>
  <si>
    <t>Required rental measures avaliable</t>
  </si>
  <si>
    <t>5 measures</t>
  </si>
  <si>
    <t>Overlapping year values reconcile across all editions</t>
  </si>
  <si>
    <t>No unexplained differences</t>
  </si>
  <si>
    <t>Target market-year coverage complete</t>
  </si>
  <si>
    <t>75 records</t>
  </si>
  <si>
    <t>Target Ontario markets mapped</t>
  </si>
  <si>
    <t>15 markets</t>
  </si>
  <si>
    <t>PASS</t>
  </si>
  <si>
    <t>One Ontario Rental Market Survey workbook available for each edition year from 2019 through 2025.</t>
  </si>
  <si>
    <t>No missing edition years within the required 2019-2025 analysis period.</t>
  </si>
  <si>
    <t>Required measures are available in CMHC private apartment tables 1.1.1, 1.1.2, 1.1.3, 1.1.5 and 1.1.6.</t>
  </si>
  <si>
    <t>Market</t>
  </si>
  <si>
    <t>Measure</t>
  </si>
  <si>
    <t>Unit_Type</t>
  </si>
  <si>
    <t>Comparison_Year</t>
  </si>
  <si>
    <t>Earlier_Edition</t>
  </si>
  <si>
    <t>Later_Edition</t>
  </si>
  <si>
    <t>Earlier_Value</t>
  </si>
  <si>
    <t>Later_Value</t>
  </si>
  <si>
    <t>Difference</t>
  </si>
  <si>
    <t>Reconciliation_Status</t>
  </si>
  <si>
    <t>2 Bedroom</t>
  </si>
  <si>
    <t>3 of 3 sampled observations matched</t>
  </si>
  <si>
    <t>Toronto 2024 Average Rent, Vacancy Rate, and Rental Universe for 2 Bedroom units matched exactly between the 2024 and 2025 CMHC editions.</t>
  </si>
  <si>
    <t>Complete coverage for 15 target Ontario markets across 2019-2023 for the selected median after-tax family income measure.</t>
  </si>
  <si>
    <t>All 15 target markets have CMHC and StatsCan geography mappings to a standardized Market_ID.</t>
  </si>
  <si>
    <t>QA Summary</t>
  </si>
  <si>
    <t>Total Checks</t>
  </si>
  <si>
    <t>Passed</t>
  </si>
  <si>
    <t>Review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</si>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</sst>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3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4FB85-9EE9-4D16-94F1-FF66FB1FF30F}" name="tblSourceInventory" displayName="tblSourceInventory" ref="A1:K9" totalsRowShown="0">
  <autoFilter ref="A1:K9" xr:uid="{5224FB85-9EE9-4D16-94F1-FF66FB1FF30F}"/>
  <tableColumns count="11">
    <tableColumn id="1" xr3:uid="{ACCC43C8-7264-423E-9805-22E3845AFDA1}" name="Source_ID"/>
    <tableColumn id="2" xr3:uid="{45AD5191-6CC8-433E-A45B-C0343C09F377}" name="Source_Organization"/>
    <tableColumn id="3" xr3:uid="{D8DDA42E-EFF3-4C87-8A54-C2746B77C840}" name="Dataset"/>
    <tableColumn id="4" xr3:uid="{BCCB6E92-E769-47CE-BFC8-3B4CBFF4AF3C}" name="File_Name"/>
    <tableColumn id="5" xr3:uid="{BD2CBA17-4E34-44A2-81F5-12E28FECCE5B}" name="Edition_Year"/>
    <tableColumn id="6" xr3:uid="{5E6210E9-D1BD-4097-B9AF-23D617068002}" name="File_Type"/>
    <tableColumn id="7" xr3:uid="{62F1B301-ADE1-454A-BF63-0B9636B53DBF}" name="Expected_Start_Year"/>
    <tableColumn id="8" xr3:uid="{27F56064-644A-4116-8394-DB191AC05A00}" name="Expected_End_Year"/>
    <tableColumn id="9" xr3:uid="{707F7AFD-C2DB-4628-BF1A-19063651E001}" name="Validation_Status"/>
    <tableColumn id="10" xr3:uid="{6F26475D-3EEE-4FE6-B1E0-91285B738168}" name="Coverage_Years" dataDxfId="31">
      <calculatedColumnFormula>tblSourceInventory[[#This Row],[Expected_End_Year]]-tblSourceInventory[[#This Row],[Expected_Start_Year]]+1</calculatedColumnFormula>
    </tableColumn>
    <tableColumn id="11" xr3:uid="{71C89646-39A3-48CF-B4FC-083FEA8EFF1C}" name="Coverage_Check" dataDxfId="30">
      <calculatedColumnFormula>IF(tblSourceInventory[[#This Row],[Expected_End_Year]]&gt;=tblSourceInventory[[#This Row],[Expected_Start_Year]],"PASS","REVIEW")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5C71D-83E8-44AB-AC71-45098DD008FA}" name="tblDataDictionary" displayName="tblDataDictionary" ref="A1:I11" totalsRowShown="0">
  <autoFilter ref="A1:I11" xr:uid="{6085C71D-83E8-44AB-AC71-45098DD008FA}"/>
  <tableColumns count="9">
    <tableColumn id="1" xr3:uid="{F27A1D9C-62C9-42AD-BE20-961703FEEACA}" name="Field_Name"/>
    <tableColumn id="2" xr3:uid="{A744E64E-C2DB-4FBB-9E5C-940B523CEC0D}" name="Source"/>
    <tableColumn id="3" xr3:uid="{555B2E59-369C-4E60-BA8C-083C197369EC}" name="Source_Measure"/>
    <tableColumn id="4" xr3:uid="{9C6BCAC9-54D6-487B-BBE0-637391706118}" name="Description " dataDxfId="29"/>
    <tableColumn id="5" xr3:uid="{DC550F6C-0F21-49C1-AC83-6704A682490F}" name="Data_Type"/>
    <tableColumn id="6" xr3:uid="{9DB1C173-6C5C-4120-A8EC-F07EEFE638B9}" name="Unit"/>
    <tableColumn id="7" xr3:uid="{C93FEB8C-56B8-4AD8-936F-730E69D6C0C1}" name="Nullable"/>
    <tableColumn id="8" xr3:uid="{746C7466-96F5-4A48-8ED3-D224CF34BF68}" name="Transformation_Rule" dataDxfId="28"/>
    <tableColumn id="9" xr3:uid="{E6FF755D-CB2E-40E1-BA99-40C68AFAC6AA}" name="Definition_Check" dataDxfId="27">
      <calculatedColumnFormula>IF(OR(tblDataDictionary[[#This Row],[Field_Name]]="",tblDataDictionary[[#This Row],[Source]]="",tblDataDictionary[[#This Row],[Description ]]="",tblDataDictionary[[#This Row],[Data_Type]]="",tblDataDictionary[[#This Row],[Nullable]]=""),"INCOMPLETE","PASS")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6427D9-9BDD-4CBA-9446-072E13AA89FE}" name="tblGeographyCrosswalk" displayName="tblGeographyCrosswalk" ref="A1:F16" totalsRowShown="0" headerRowDxfId="33">
  <autoFilter ref="A1:F16" xr:uid="{5D6427D9-9BDD-4CBA-9446-072E13AA89FE}"/>
  <tableColumns count="6">
    <tableColumn id="1" xr3:uid="{087DE0E4-4B63-4275-ADE8-294093694FF3}" name="Market_ID"/>
    <tableColumn id="2" xr3:uid="{DA7B3CB2-8EF3-4430-97A6-BC75C36B52B4}" name="Standard_Market"/>
    <tableColumn id="3" xr3:uid="{2A0CAAFD-1401-4B7B-A77B-3330C7DBB122}" name="CMHC_Market"/>
    <tableColumn id="4" xr3:uid="{A82B52BD-1A65-471F-8EBA-B4140D618862}" name="StatsCan_Market"/>
    <tableColumn id="5" xr3:uid="{0989A061-856A-4110-8A19-FDF2A07318E8}" name="Province"/>
    <tableColumn id="6" xr3:uid="{7E53984D-9567-4530-91B1-1CB35476DAF2}" name="Mapping_Status" dataDxfId="32">
      <calculatedColumnFormula>IF(OR(tblGeographyCrosswalk[[#This Row],[CMHC_Market]]="", tblGeographyCrosswalk[[#This Row],[StatsCan_Market]]=""),"REVIEW","MAPPED")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1BBD6A-C3A5-4649-80DD-DF073F568BAC}" name="tblQAChecks" displayName="tblQAChecks" ref="A1:G7" totalsRowShown="0" headerRowDxfId="19" dataDxfId="18">
  <autoFilter ref="A1:G7" xr:uid="{C21BBD6A-C3A5-4649-80DD-DF073F568BAC}"/>
  <tableColumns count="7">
    <tableColumn id="1" xr3:uid="{08376C36-4771-4CDE-AEF7-DF53FA71CC22}" name="QA_ID" dataDxfId="26"/>
    <tableColumn id="2" xr3:uid="{9E3EB6C4-7AAF-462F-B10E-6BC004049FA3}" name="Dataset" dataDxfId="25"/>
    <tableColumn id="3" xr3:uid="{309802E9-7717-473F-A0F7-257A8798B7C5}" name="QA_Checks" dataDxfId="24"/>
    <tableColumn id="4" xr3:uid="{463E54F1-4197-45EB-ADA1-727977A6508E}" name="Expected_Result" dataDxfId="23"/>
    <tableColumn id="5" xr3:uid="{78C9CC80-5A42-4877-A77A-6FC68B591784}" name="Actual_Result" dataDxfId="22"/>
    <tableColumn id="6" xr3:uid="{B8018B03-063E-4346-B515-9387BF80A94A}" name="Status" dataDxfId="21"/>
    <tableColumn id="7" xr3:uid="{E0AC76FB-CC17-43B4-AD24-574E63793CDF}" name="Notes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051C-BDA6-4AD2-A1DD-EA96B904A045}">
  <dimension ref="A1:N9"/>
  <sheetViews>
    <sheetView topLeftCell="E1" workbookViewId="0">
      <pane ySplit="1" topLeftCell="A2" activePane="bottomLeft" state="frozen"/>
      <selection pane="bottomLeft" activeCell="N3" sqref="N3"/>
    </sheetView>
  </sheetViews>
  <sheetFormatPr defaultRowHeight="14.5" x14ac:dyDescent="0.35"/>
  <cols>
    <col min="1" max="1" width="13.1796875" bestFit="1" customWidth="1"/>
    <col min="2" max="2" width="20.453125" bestFit="1" customWidth="1"/>
    <col min="3" max="3" width="19.453125" customWidth="1"/>
    <col min="4" max="4" width="21.08984375" bestFit="1" customWidth="1"/>
    <col min="5" max="5" width="13.54296875" customWidth="1"/>
    <col min="6" max="6" width="10.90625" bestFit="1" customWidth="1"/>
    <col min="7" max="7" width="20.36328125" bestFit="1" customWidth="1"/>
    <col min="8" max="8" width="19.54296875" bestFit="1" customWidth="1"/>
    <col min="9" max="9" width="17.90625" bestFit="1" customWidth="1"/>
    <col min="10" max="10" width="16.36328125" bestFit="1" customWidth="1"/>
    <col min="11" max="11" width="17.08984375" bestFit="1" customWidth="1"/>
    <col min="12" max="12" width="15.81640625" customWidth="1"/>
    <col min="13" max="13" width="24" customWidth="1"/>
  </cols>
  <sheetData>
    <row r="1" spans="1:14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  <c r="K1" t="s">
        <v>33</v>
      </c>
      <c r="M1" s="2" t="s">
        <v>34</v>
      </c>
      <c r="N1" s="2" t="s">
        <v>35</v>
      </c>
    </row>
    <row r="2" spans="1:14" x14ac:dyDescent="0.35">
      <c r="A2" t="s">
        <v>10</v>
      </c>
      <c r="B2" t="s">
        <v>9</v>
      </c>
      <c r="C2" t="s">
        <v>19</v>
      </c>
      <c r="D2" t="s">
        <v>21</v>
      </c>
      <c r="E2">
        <v>2019</v>
      </c>
      <c r="F2" t="s">
        <v>29</v>
      </c>
      <c r="G2">
        <v>2019</v>
      </c>
      <c r="H2">
        <v>2019</v>
      </c>
      <c r="I2" t="s">
        <v>31</v>
      </c>
      <c r="J2">
        <f>tblSourceInventory[[#This Row],[Expected_End_Year]]-tblSourceInventory[[#This Row],[Expected_Start_Year]]+1</f>
        <v>1</v>
      </c>
      <c r="K2" t="str">
        <f>IF(tblSourceInventory[[#This Row],[Expected_End_Year]]&gt;=tblSourceInventory[[#This Row],[Expected_Start_Year]],"PASS","REVIEW")</f>
        <v>PASS</v>
      </c>
      <c r="M2" s="1" t="s">
        <v>36</v>
      </c>
      <c r="N2" s="1">
        <f>ROWS(tblSourceInventory[Source_ID])</f>
        <v>8</v>
      </c>
    </row>
    <row r="3" spans="1:14" x14ac:dyDescent="0.35">
      <c r="A3" t="s">
        <v>11</v>
      </c>
      <c r="B3" t="s">
        <v>9</v>
      </c>
      <c r="C3" t="s">
        <v>19</v>
      </c>
      <c r="D3" t="s">
        <v>22</v>
      </c>
      <c r="E3">
        <v>2020</v>
      </c>
      <c r="F3" t="s">
        <v>29</v>
      </c>
      <c r="G3">
        <v>2020</v>
      </c>
      <c r="H3">
        <v>2020</v>
      </c>
      <c r="I3" t="s">
        <v>31</v>
      </c>
      <c r="J3">
        <f>tblSourceInventory[[#This Row],[Expected_End_Year]]-tblSourceInventory[[#This Row],[Expected_Start_Year]]+1</f>
        <v>1</v>
      </c>
      <c r="K3" t="str">
        <f>IF(tblSourceInventory[[#This Row],[Expected_End_Year]]&gt;=tblSourceInventory[[#This Row],[Expected_Start_Year]],"PASS","REVIEW")</f>
        <v>PASS</v>
      </c>
      <c r="M3" s="1" t="s">
        <v>37</v>
      </c>
      <c r="N3" s="1">
        <f>COUNTIF(tblSourceInventory[Validation_Status],"Validated")</f>
        <v>8</v>
      </c>
    </row>
    <row r="4" spans="1:14" x14ac:dyDescent="0.35">
      <c r="A4" t="s">
        <v>12</v>
      </c>
      <c r="B4" t="s">
        <v>9</v>
      </c>
      <c r="C4" t="s">
        <v>19</v>
      </c>
      <c r="D4" t="s">
        <v>23</v>
      </c>
      <c r="E4">
        <v>2021</v>
      </c>
      <c r="F4" t="s">
        <v>29</v>
      </c>
      <c r="G4">
        <v>2021</v>
      </c>
      <c r="H4">
        <v>2021</v>
      </c>
      <c r="I4" t="s">
        <v>31</v>
      </c>
      <c r="J4">
        <f>tblSourceInventory[[#This Row],[Expected_End_Year]]-tblSourceInventory[[#This Row],[Expected_Start_Year]]+1</f>
        <v>1</v>
      </c>
      <c r="K4" t="str">
        <f>IF(tblSourceInventory[[#This Row],[Expected_End_Year]]&gt;=tblSourceInventory[[#This Row],[Expected_Start_Year]],"PASS","REVIEW")</f>
        <v>PASS</v>
      </c>
      <c r="M4" s="1" t="s">
        <v>38</v>
      </c>
      <c r="N4" s="1">
        <f>COUNTIF(tblSourceInventory[Validation_Status],"Issue Found")+COUNTIF(tblSourceInventory[Coverage_Check],"REVIEW")</f>
        <v>0</v>
      </c>
    </row>
    <row r="5" spans="1:14" x14ac:dyDescent="0.35">
      <c r="A5" t="s">
        <v>13</v>
      </c>
      <c r="B5" t="s">
        <v>9</v>
      </c>
      <c r="C5" t="s">
        <v>19</v>
      </c>
      <c r="D5" t="s">
        <v>24</v>
      </c>
      <c r="E5">
        <v>2022</v>
      </c>
      <c r="F5" t="s">
        <v>29</v>
      </c>
      <c r="G5">
        <v>2022</v>
      </c>
      <c r="H5">
        <v>2022</v>
      </c>
      <c r="I5" t="s">
        <v>31</v>
      </c>
      <c r="J5">
        <f>tblSourceInventory[[#This Row],[Expected_End_Year]]-tblSourceInventory[[#This Row],[Expected_Start_Year]]+1</f>
        <v>1</v>
      </c>
      <c r="K5" t="str">
        <f>IF(tblSourceInventory[[#This Row],[Expected_End_Year]]&gt;=tblSourceInventory[[#This Row],[Expected_Start_Year]],"PASS","REVIEW")</f>
        <v>PASS</v>
      </c>
    </row>
    <row r="6" spans="1:14" x14ac:dyDescent="0.35">
      <c r="A6" t="s">
        <v>14</v>
      </c>
      <c r="B6" t="s">
        <v>9</v>
      </c>
      <c r="C6" t="s">
        <v>19</v>
      </c>
      <c r="D6" t="s">
        <v>25</v>
      </c>
      <c r="E6">
        <v>2023</v>
      </c>
      <c r="F6" t="s">
        <v>29</v>
      </c>
      <c r="G6">
        <v>2023</v>
      </c>
      <c r="H6">
        <v>2023</v>
      </c>
      <c r="I6" t="s">
        <v>31</v>
      </c>
      <c r="J6">
        <f>tblSourceInventory[[#This Row],[Expected_End_Year]]-tblSourceInventory[[#This Row],[Expected_Start_Year]]+1</f>
        <v>1</v>
      </c>
      <c r="K6" t="str">
        <f>IF(tblSourceInventory[[#This Row],[Expected_End_Year]]&gt;=tblSourceInventory[[#This Row],[Expected_Start_Year]],"PASS","REVIEW")</f>
        <v>PASS</v>
      </c>
    </row>
    <row r="7" spans="1:14" x14ac:dyDescent="0.35">
      <c r="A7" t="s">
        <v>15</v>
      </c>
      <c r="B7" t="s">
        <v>9</v>
      </c>
      <c r="C7" t="s">
        <v>19</v>
      </c>
      <c r="D7" t="s">
        <v>26</v>
      </c>
      <c r="E7">
        <v>2024</v>
      </c>
      <c r="F7" t="s">
        <v>29</v>
      </c>
      <c r="G7">
        <v>2024</v>
      </c>
      <c r="H7">
        <v>2024</v>
      </c>
      <c r="I7" t="s">
        <v>31</v>
      </c>
      <c r="J7">
        <f>tblSourceInventory[[#This Row],[Expected_End_Year]]-tblSourceInventory[[#This Row],[Expected_Start_Year]]+1</f>
        <v>1</v>
      </c>
      <c r="K7" t="str">
        <f>IF(tblSourceInventory[[#This Row],[Expected_End_Year]]&gt;=tblSourceInventory[[#This Row],[Expected_Start_Year]],"PASS","REVIEW")</f>
        <v>PASS</v>
      </c>
    </row>
    <row r="8" spans="1:14" x14ac:dyDescent="0.35">
      <c r="A8" t="s">
        <v>16</v>
      </c>
      <c r="B8" t="s">
        <v>9</v>
      </c>
      <c r="C8" t="s">
        <v>19</v>
      </c>
      <c r="D8" t="s">
        <v>27</v>
      </c>
      <c r="E8">
        <v>2025</v>
      </c>
      <c r="F8" t="s">
        <v>29</v>
      </c>
      <c r="G8">
        <v>2025</v>
      </c>
      <c r="H8">
        <v>2025</v>
      </c>
      <c r="I8" t="s">
        <v>31</v>
      </c>
      <c r="J8">
        <f>tblSourceInventory[[#This Row],[Expected_End_Year]]-tblSourceInventory[[#This Row],[Expected_Start_Year]]+1</f>
        <v>1</v>
      </c>
      <c r="K8" t="str">
        <f>IF(tblSourceInventory[[#This Row],[Expected_End_Year]]&gt;=tblSourceInventory[[#This Row],[Expected_Start_Year]],"PASS","REVIEW")</f>
        <v>PASS</v>
      </c>
    </row>
    <row r="9" spans="1:14" x14ac:dyDescent="0.35">
      <c r="A9" t="s">
        <v>17</v>
      </c>
      <c r="B9" t="s">
        <v>18</v>
      </c>
      <c r="C9" t="s">
        <v>20</v>
      </c>
      <c r="D9" t="s">
        <v>28</v>
      </c>
      <c r="E9">
        <v>2023</v>
      </c>
      <c r="F9" t="s">
        <v>30</v>
      </c>
      <c r="G9">
        <v>2019</v>
      </c>
      <c r="H9">
        <v>2023</v>
      </c>
      <c r="I9" t="s">
        <v>31</v>
      </c>
      <c r="J9">
        <f>tblSourceInventory[[#This Row],[Expected_End_Year]]-tblSourceInventory[[#This Row],[Expected_Start_Year]]+1</f>
        <v>5</v>
      </c>
      <c r="K9" t="str">
        <f>IF(tblSourceInventory[[#This Row],[Expected_End_Year]]&gt;=tblSourceInventory[[#This Row],[Expected_Start_Year]],"PASS","REVIEW")</f>
        <v>PASS</v>
      </c>
    </row>
  </sheetData>
  <phoneticPr fontId="2" type="noConversion"/>
  <conditionalFormatting sqref="K1:K1048576">
    <cfRule type="containsText" dxfId="10" priority="1" operator="containsText" text="PASS">
      <formula>NOT(ISERROR(SEARCH("PASS",K1)))</formula>
    </cfRule>
    <cfRule type="containsText" dxfId="9" priority="2" operator="containsText" text="REVIEW">
      <formula>NOT(ISERROR(SEARCH("REVIEW",K1)))</formula>
    </cfRule>
  </conditionalFormatting>
  <dataValidations count="1">
    <dataValidation type="list" allowBlank="1" showInputMessage="1" showErrorMessage="1" sqref="I2:I9" xr:uid="{6087D5EC-8C83-484C-A515-A5AE19C20EAE}">
      <formula1>"Not Reviewed,Validated,Issue Found"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1DB1-DE39-41DE-9C5E-200815D6B75E}">
  <dimension ref="A1:L11"/>
  <sheetViews>
    <sheetView topLeftCell="C1"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20.7265625" customWidth="1"/>
    <col min="2" max="2" width="8.6328125" customWidth="1"/>
    <col min="3" max="3" width="16.54296875" customWidth="1"/>
    <col min="4" max="4" width="18.54296875" style="3" customWidth="1"/>
    <col min="5" max="5" width="11.453125" customWidth="1"/>
    <col min="6" max="6" width="11" customWidth="1"/>
    <col min="7" max="7" width="9.90625" customWidth="1"/>
    <col min="8" max="8" width="23" style="3" customWidth="1"/>
    <col min="9" max="9" width="17.7265625" customWidth="1"/>
    <col min="11" max="11" width="15.453125" customWidth="1"/>
  </cols>
  <sheetData>
    <row r="1" spans="1:12" ht="29" x14ac:dyDescent="0.35">
      <c r="A1" t="s">
        <v>39</v>
      </c>
      <c r="B1" t="s">
        <v>40</v>
      </c>
      <c r="C1" t="s">
        <v>41</v>
      </c>
      <c r="D1" s="3" t="s">
        <v>42</v>
      </c>
      <c r="E1" t="s">
        <v>43</v>
      </c>
      <c r="F1" t="s">
        <v>44</v>
      </c>
      <c r="G1" t="s">
        <v>45</v>
      </c>
      <c r="H1" s="3" t="s">
        <v>46</v>
      </c>
      <c r="I1" t="s">
        <v>99</v>
      </c>
      <c r="K1" s="2" t="s">
        <v>100</v>
      </c>
      <c r="L1" s="2" t="s">
        <v>35</v>
      </c>
    </row>
    <row r="2" spans="1:12" ht="29" x14ac:dyDescent="0.35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  <c r="K2" s="1" t="s">
        <v>101</v>
      </c>
      <c r="L2" s="1">
        <f>ROWS(tblDataDictionary[Field_Name])</f>
        <v>10</v>
      </c>
    </row>
    <row r="3" spans="1:12" ht="43.5" x14ac:dyDescent="0.35">
      <c r="A3" s="1" t="s">
        <v>55</v>
      </c>
      <c r="B3" s="1" t="s">
        <v>48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53</v>
      </c>
      <c r="H3" s="1" t="s">
        <v>60</v>
      </c>
      <c r="I3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  <c r="K3" s="1" t="s">
        <v>102</v>
      </c>
      <c r="L3" s="1">
        <f>COUNTIF(tblDataDictionary[Definition_Check],"PASS")</f>
        <v>10</v>
      </c>
    </row>
    <row r="4" spans="1:12" ht="58" x14ac:dyDescent="0.35">
      <c r="A4" s="1" t="s">
        <v>61</v>
      </c>
      <c r="B4" s="1" t="s">
        <v>9</v>
      </c>
      <c r="C4" s="1" t="s">
        <v>62</v>
      </c>
      <c r="D4" s="1" t="s">
        <v>63</v>
      </c>
      <c r="E4" s="1" t="s">
        <v>58</v>
      </c>
      <c r="F4" s="1" t="s">
        <v>59</v>
      </c>
      <c r="G4" s="1" t="s">
        <v>53</v>
      </c>
      <c r="H4" s="1" t="s">
        <v>64</v>
      </c>
      <c r="I4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  <c r="K4" s="1" t="s">
        <v>103</v>
      </c>
      <c r="L4" s="1">
        <f>COUNTIF(tblDataDictionary[Definition_Check], "INCOMPLETE")</f>
        <v>0</v>
      </c>
    </row>
    <row r="5" spans="1:12" ht="72.5" x14ac:dyDescent="0.35">
      <c r="A5" s="1" t="s">
        <v>65</v>
      </c>
      <c r="B5" s="1" t="s">
        <v>9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  <row r="6" spans="1:12" ht="58" x14ac:dyDescent="0.35">
      <c r="A6" s="1" t="s">
        <v>72</v>
      </c>
      <c r="B6" s="1" t="s">
        <v>9</v>
      </c>
      <c r="C6" s="1" t="s">
        <v>73</v>
      </c>
      <c r="D6" s="1" t="s">
        <v>74</v>
      </c>
      <c r="E6" s="1" t="s">
        <v>68</v>
      </c>
      <c r="F6" s="1" t="s">
        <v>75</v>
      </c>
      <c r="G6" s="1" t="s">
        <v>70</v>
      </c>
      <c r="H6" s="1" t="s">
        <v>76</v>
      </c>
      <c r="I6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  <row r="7" spans="1:12" ht="58" x14ac:dyDescent="0.35">
      <c r="A7" s="1" t="s">
        <v>77</v>
      </c>
      <c r="B7" s="1" t="s">
        <v>9</v>
      </c>
      <c r="C7" s="1" t="s">
        <v>78</v>
      </c>
      <c r="D7" s="1" t="s">
        <v>79</v>
      </c>
      <c r="E7" s="1" t="s">
        <v>51</v>
      </c>
      <c r="F7" s="1" t="s">
        <v>80</v>
      </c>
      <c r="G7" s="1" t="s">
        <v>70</v>
      </c>
      <c r="H7" s="1" t="s">
        <v>81</v>
      </c>
      <c r="I7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  <row r="8" spans="1:12" ht="58" x14ac:dyDescent="0.35">
      <c r="A8" s="1" t="s">
        <v>82</v>
      </c>
      <c r="B8" s="1" t="s">
        <v>9</v>
      </c>
      <c r="C8" s="1" t="s">
        <v>83</v>
      </c>
      <c r="D8" s="1" t="s">
        <v>84</v>
      </c>
      <c r="E8" s="1" t="s">
        <v>68</v>
      </c>
      <c r="F8" s="1" t="s">
        <v>75</v>
      </c>
      <c r="G8" s="1" t="s">
        <v>70</v>
      </c>
      <c r="H8" s="1" t="s">
        <v>85</v>
      </c>
      <c r="I8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  <row r="9" spans="1:12" ht="58" x14ac:dyDescent="0.35">
      <c r="A9" s="1" t="s">
        <v>86</v>
      </c>
      <c r="B9" s="1" t="s">
        <v>9</v>
      </c>
      <c r="C9" s="1" t="s">
        <v>87</v>
      </c>
      <c r="D9" s="1" t="s">
        <v>88</v>
      </c>
      <c r="E9" s="1" t="s">
        <v>68</v>
      </c>
      <c r="F9" s="1" t="s">
        <v>75</v>
      </c>
      <c r="G9" s="1" t="s">
        <v>70</v>
      </c>
      <c r="H9" s="1" t="s">
        <v>76</v>
      </c>
      <c r="I9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  <row r="10" spans="1:12" ht="58" x14ac:dyDescent="0.35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51</v>
      </c>
      <c r="F10" s="1" t="s">
        <v>93</v>
      </c>
      <c r="G10" s="1" t="s">
        <v>70</v>
      </c>
      <c r="H10" s="1" t="s">
        <v>94</v>
      </c>
      <c r="I10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  <row r="11" spans="1:12" ht="72.5" x14ac:dyDescent="0.35">
      <c r="A11" s="1" t="s">
        <v>95</v>
      </c>
      <c r="B11" s="1" t="s">
        <v>9</v>
      </c>
      <c r="C11" s="1" t="s">
        <v>96</v>
      </c>
      <c r="D11" s="1" t="s">
        <v>97</v>
      </c>
      <c r="E11" s="1" t="s">
        <v>58</v>
      </c>
      <c r="F11" s="1" t="s">
        <v>59</v>
      </c>
      <c r="G11" s="1" t="s">
        <v>70</v>
      </c>
      <c r="H11" s="1" t="s">
        <v>98</v>
      </c>
      <c r="I11" t="str">
        <f>IF(OR(tblDataDictionary[[#This Row],[Field_Name]]="",tblDataDictionary[[#This Row],[Source]]="",tblDataDictionary[[#This Row],[Description ]]="",tblDataDictionary[[#This Row],[Data_Type]]="",tblDataDictionary[[#This Row],[Nullable]]=""),"INCOMPLETE","PASS")</f>
        <v>PASS</v>
      </c>
    </row>
  </sheetData>
  <conditionalFormatting sqref="I2:I11">
    <cfRule type="containsText" dxfId="8" priority="1" operator="containsText" text="INCOMPLETE">
      <formula>NOT(ISERROR(SEARCH("INCOMPLETE",I2)))</formula>
    </cfRule>
    <cfRule type="containsText" dxfId="7" priority="2" operator="containsText" text="PASS">
      <formula>NOT(ISERROR(SEARCH("PASS",I2)))</formula>
    </cfRule>
  </conditionalFormatting>
  <dataValidations count="2">
    <dataValidation type="list" allowBlank="1" showInputMessage="1" showErrorMessage="1" sqref="E2:E11" xr:uid="{7C01D9C7-D0E1-433E-9240-E1A9E25EA2A8}">
      <formula1>"INTEGER,TEXT,NUMERIC"</formula1>
    </dataValidation>
    <dataValidation type="list" allowBlank="1" showInputMessage="1" showErrorMessage="1" sqref="G2:G11" xr:uid="{8ACD9376-9E19-4C1E-9D06-80929774CE6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7959-E5A8-49A5-8F4D-F9E84B62E463}">
  <dimension ref="A1:K16"/>
  <sheetViews>
    <sheetView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1.453125" bestFit="1" customWidth="1"/>
    <col min="2" max="2" width="17.36328125" bestFit="1" customWidth="1"/>
    <col min="3" max="3" width="14.90625" bestFit="1" customWidth="1"/>
    <col min="4" max="4" width="17.36328125" bestFit="1" customWidth="1"/>
    <col min="5" max="5" width="10.36328125" bestFit="1" customWidth="1"/>
    <col min="6" max="6" width="16.54296875" bestFit="1" customWidth="1"/>
    <col min="8" max="8" width="13.7265625" bestFit="1" customWidth="1"/>
    <col min="9" max="9" width="17.6328125" bestFit="1" customWidth="1"/>
    <col min="10" max="10" width="17.36328125" bestFit="1" customWidth="1"/>
    <col min="11" max="11" width="23" bestFit="1" customWidth="1"/>
  </cols>
  <sheetData>
    <row r="1" spans="1:11" x14ac:dyDescent="0.35">
      <c r="A1" s="3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H1" s="4" t="s">
        <v>142</v>
      </c>
      <c r="I1" s="4" t="s">
        <v>143</v>
      </c>
      <c r="J1" s="5" t="s">
        <v>144</v>
      </c>
      <c r="K1" s="5" t="s">
        <v>145</v>
      </c>
    </row>
    <row r="2" spans="1:11" x14ac:dyDescent="0.35">
      <c r="A2" s="1" t="s">
        <v>110</v>
      </c>
      <c r="B2" s="1" t="s">
        <v>111</v>
      </c>
      <c r="C2" s="1" t="s">
        <v>111</v>
      </c>
      <c r="D2" s="1" t="s">
        <v>111</v>
      </c>
      <c r="E2" s="1" t="s">
        <v>112</v>
      </c>
      <c r="F2" t="str">
        <f>IF(OR(tblGeographyCrosswalk[[#This Row],[CMHC_Market]]="", tblGeographyCrosswalk[[#This Row],[StatsCan_Market]]=""),"REVIEW","MAPPED")</f>
        <v>MAPPED</v>
      </c>
      <c r="H2" s="1" t="s">
        <v>9</v>
      </c>
      <c r="I2" s="1" t="s">
        <v>139</v>
      </c>
      <c r="J2" t="str">
        <f>IF(H2="CMHC",
_xlfn.XLOOKUP(I2,tblGeographyCrosswalk[CMHC_Market],tblGeographyCrosswalk[Market_ID],"NOT FOUND"),
IF(H2="StatsCan",
_xlfn.XLOOKUP(I2,tblGeographyCrosswalk[StatsCan_Market],tblGeographyCrosswalk[Market_ID],"NOT FOUND"),
"INVALID SOURCE"))</f>
        <v>ON014</v>
      </c>
      <c r="K2" t="str">
        <f>IF(H2="CMHC", _xlfn.XLOOKUP(I2,tblGeographyCrosswalk[CMHC_Market],tblGeographyCrosswalk[Standard_Market], "NOT FOUND"), IF(H2="StatsCan", _xlfn.XLOOKUP(I2, tblGeographyCrosswalk[StatsCan_Market], tblGeographyCrosswalk[Standard_Market],"NOT FOUND"), "INVALID SOURCE"))</f>
        <v>Toronto</v>
      </c>
    </row>
    <row r="3" spans="1:11" ht="29" x14ac:dyDescent="0.35">
      <c r="A3" s="1" t="s">
        <v>113</v>
      </c>
      <c r="B3" s="1" t="s">
        <v>114</v>
      </c>
      <c r="C3" s="1" t="s">
        <v>114</v>
      </c>
      <c r="D3" s="1" t="s">
        <v>114</v>
      </c>
      <c r="E3" s="1" t="s">
        <v>112</v>
      </c>
      <c r="F3" t="str">
        <f>IF(OR(tblGeographyCrosswalk[[#This Row],[CMHC_Market]]="", tblGeographyCrosswalk[[#This Row],[StatsCan_Market]]=""),"REVIEW","MAPPED")</f>
        <v>MAPPED</v>
      </c>
      <c r="H3" s="1" t="s">
        <v>90</v>
      </c>
      <c r="I3" s="1" t="s">
        <v>139</v>
      </c>
      <c r="J3" t="str">
        <f>IF(H3="CMHC",
_xlfn.XLOOKUP(I3,tblGeographyCrosswalk[CMHC_Market],tblGeographyCrosswalk[Market_ID],"NOT FOUND"),
IF(H3="StatsCan",
_xlfn.XLOOKUP(I3,tblGeographyCrosswalk[StatsCan_Market],tblGeographyCrosswalk[Market_ID],"NOT FOUND"),
"INVALID SOURCE"))</f>
        <v>ON014</v>
      </c>
      <c r="K3" t="str">
        <f>IF(H3="CMHC", _xlfn.XLOOKUP(I3,tblGeographyCrosswalk[CMHC_Market],tblGeographyCrosswalk[Standard_Market], "NOT FOUND"), IF(H3="StatsCan", _xlfn.XLOOKUP(I3, tblGeographyCrosswalk[StatsCan_Market], tblGeographyCrosswalk[Standard_Market],"NOT FOUND"), "INVALID SOURCE"))</f>
        <v>Toronto</v>
      </c>
    </row>
    <row r="4" spans="1:11" ht="29" x14ac:dyDescent="0.35">
      <c r="A4" s="1" t="s">
        <v>115</v>
      </c>
      <c r="B4" s="1" t="s">
        <v>116</v>
      </c>
      <c r="C4" s="1" t="s">
        <v>116</v>
      </c>
      <c r="D4" s="1" t="s">
        <v>116</v>
      </c>
      <c r="E4" s="1" t="s">
        <v>112</v>
      </c>
      <c r="F4" t="str">
        <f>IF(OR(tblGeographyCrosswalk[[#This Row],[CMHC_Market]]="", tblGeographyCrosswalk[[#This Row],[StatsCan_Market]]=""),"REVIEW","MAPPED")</f>
        <v>MAPPED</v>
      </c>
      <c r="H4" s="1" t="s">
        <v>9</v>
      </c>
      <c r="I4" s="1" t="s">
        <v>132</v>
      </c>
      <c r="J4" t="str">
        <f>IF(H4="CMHC",
_xlfn.XLOOKUP(I4,tblGeographyCrosswalk[CMHC_Market],tblGeographyCrosswalk[Market_ID],"NOT FOUND"),
IF(H4="StatsCan",
_xlfn.XLOOKUP(I4,tblGeographyCrosswalk[StatsCan_Market],tblGeographyCrosswalk[Market_ID],"NOT FOUND"),
"INVALID SOURCE"))</f>
        <v>ON011</v>
      </c>
      <c r="K4" s="3" t="str">
        <f>IF(H4="CMHC", _xlfn.XLOOKUP(I4,tblGeographyCrosswalk[CMHC_Market],tblGeographyCrosswalk[Standard_Market], "NOT FOUND"), IF(H4="StatsCan", _xlfn.XLOOKUP(I4, tblGeographyCrosswalk[StatsCan_Market], tblGeographyCrosswalk[Standard_Market],"NOT FOUND"), "INVALID SOURCE"))</f>
        <v>Ottawa–Gatineau (Ontario part)</v>
      </c>
    </row>
    <row r="5" spans="1:11" ht="29" x14ac:dyDescent="0.35">
      <c r="A5" s="1" t="s">
        <v>117</v>
      </c>
      <c r="B5" s="1" t="s">
        <v>118</v>
      </c>
      <c r="C5" s="1" t="s">
        <v>118</v>
      </c>
      <c r="D5" s="1" t="s">
        <v>118</v>
      </c>
      <c r="E5" s="1" t="s">
        <v>112</v>
      </c>
      <c r="F5" t="str">
        <f>IF(OR(tblGeographyCrosswalk[[#This Row],[CMHC_Market]]="", tblGeographyCrosswalk[[#This Row],[StatsCan_Market]]=""),"REVIEW","MAPPED")</f>
        <v>MAPPED</v>
      </c>
      <c r="H5" s="1" t="s">
        <v>90</v>
      </c>
      <c r="I5" s="1" t="s">
        <v>133</v>
      </c>
      <c r="J5" t="str">
        <f>IF(H5="CMHC",
_xlfn.XLOOKUP(I5,tblGeographyCrosswalk[CMHC_Market],tblGeographyCrosswalk[Market_ID],"NOT FOUND"),
IF(H5="StatsCan",
_xlfn.XLOOKUP(I5,tblGeographyCrosswalk[StatsCan_Market],tblGeographyCrosswalk[Market_ID],"NOT FOUND"),
"INVALID SOURCE"))</f>
        <v>ON011</v>
      </c>
      <c r="K5" s="3" t="str">
        <f>IF(H5="CMHC", _xlfn.XLOOKUP(I5,tblGeographyCrosswalk[CMHC_Market],tblGeographyCrosswalk[Standard_Market], "NOT FOUND"), IF(H5="StatsCan", _xlfn.XLOOKUP(I5, tblGeographyCrosswalk[StatsCan_Market], tblGeographyCrosswalk[Standard_Market],"NOT FOUND"), "INVALID SOURCE"))</f>
        <v>Ottawa–Gatineau (Ontario part)</v>
      </c>
    </row>
    <row r="6" spans="1:11" x14ac:dyDescent="0.35">
      <c r="A6" s="1" t="s">
        <v>119</v>
      </c>
      <c r="B6" s="1" t="s">
        <v>120</v>
      </c>
      <c r="C6" s="1" t="s">
        <v>120</v>
      </c>
      <c r="D6" s="1" t="s">
        <v>120</v>
      </c>
      <c r="E6" s="1" t="s">
        <v>112</v>
      </c>
      <c r="F6" t="str">
        <f>IF(OR(tblGeographyCrosswalk[[#This Row],[CMHC_Market]]="", tblGeographyCrosswalk[[#This Row],[StatsCan_Market]]=""),"REVIEW","MAPPED")</f>
        <v>MAPPED</v>
      </c>
    </row>
    <row r="7" spans="1:11" x14ac:dyDescent="0.35">
      <c r="A7" s="1" t="s">
        <v>121</v>
      </c>
      <c r="B7" s="1" t="s">
        <v>122</v>
      </c>
      <c r="C7" s="1" t="s">
        <v>122</v>
      </c>
      <c r="D7" s="1" t="s">
        <v>122</v>
      </c>
      <c r="E7" s="1" t="s">
        <v>112</v>
      </c>
      <c r="F7" t="str">
        <f>IF(OR(tblGeographyCrosswalk[[#This Row],[CMHC_Market]]="", tblGeographyCrosswalk[[#This Row],[StatsCan_Market]]=""),"REVIEW","MAPPED")</f>
        <v>MAPPED</v>
      </c>
    </row>
    <row r="8" spans="1:11" x14ac:dyDescent="0.35">
      <c r="A8" s="1" t="s">
        <v>123</v>
      </c>
      <c r="B8" s="1" t="s">
        <v>124</v>
      </c>
      <c r="C8" s="1" t="s">
        <v>124</v>
      </c>
      <c r="D8" s="1" t="s">
        <v>124</v>
      </c>
      <c r="E8" s="1" t="s">
        <v>112</v>
      </c>
      <c r="F8" t="str">
        <f>IF(OR(tblGeographyCrosswalk[[#This Row],[CMHC_Market]]="", tblGeographyCrosswalk[[#This Row],[StatsCan_Market]]=""),"REVIEW","MAPPED")</f>
        <v>MAPPED</v>
      </c>
    </row>
    <row r="9" spans="1:11" ht="29" x14ac:dyDescent="0.35">
      <c r="A9" s="1" t="s">
        <v>125</v>
      </c>
      <c r="B9" s="1" t="s">
        <v>126</v>
      </c>
      <c r="C9" s="1" t="s">
        <v>126</v>
      </c>
      <c r="D9" s="1" t="s">
        <v>126</v>
      </c>
      <c r="E9" s="1" t="s">
        <v>112</v>
      </c>
      <c r="F9" t="str">
        <f>IF(OR(tblGeographyCrosswalk[[#This Row],[CMHC_Market]]="", tblGeographyCrosswalk[[#This Row],[StatsCan_Market]]=""),"REVIEW","MAPPED")</f>
        <v>MAPPED</v>
      </c>
    </row>
    <row r="10" spans="1:11" x14ac:dyDescent="0.35">
      <c r="A10" s="1" t="s">
        <v>127</v>
      </c>
      <c r="B10" s="1" t="s">
        <v>128</v>
      </c>
      <c r="C10" s="1" t="s">
        <v>128</v>
      </c>
      <c r="D10" s="1" t="s">
        <v>128</v>
      </c>
      <c r="E10" s="1" t="s">
        <v>112</v>
      </c>
      <c r="F10" t="str">
        <f>IF(OR(tblGeographyCrosswalk[[#This Row],[CMHC_Market]]="", tblGeographyCrosswalk[[#This Row],[StatsCan_Market]]=""),"REVIEW","MAPPED")</f>
        <v>MAPPED</v>
      </c>
    </row>
    <row r="11" spans="1:11" x14ac:dyDescent="0.35">
      <c r="A11" s="1" t="s">
        <v>129</v>
      </c>
      <c r="B11" s="1" t="s">
        <v>130</v>
      </c>
      <c r="C11" s="1" t="s">
        <v>130</v>
      </c>
      <c r="D11" s="1" t="s">
        <v>130</v>
      </c>
      <c r="E11" s="1" t="s">
        <v>112</v>
      </c>
      <c r="F11" t="str">
        <f>IF(OR(tblGeographyCrosswalk[[#This Row],[CMHC_Market]]="", tblGeographyCrosswalk[[#This Row],[StatsCan_Market]]=""),"REVIEW","MAPPED")</f>
        <v>MAPPED</v>
      </c>
    </row>
    <row r="12" spans="1:11" ht="29" x14ac:dyDescent="0.35">
      <c r="A12" s="1" t="s">
        <v>131</v>
      </c>
      <c r="B12" s="1" t="s">
        <v>132</v>
      </c>
      <c r="C12" s="1" t="s">
        <v>132</v>
      </c>
      <c r="D12" s="1" t="s">
        <v>133</v>
      </c>
      <c r="E12" s="1" t="s">
        <v>112</v>
      </c>
      <c r="F12" t="str">
        <f>IF(OR(tblGeographyCrosswalk[[#This Row],[CMHC_Market]]="", tblGeographyCrosswalk[[#This Row],[StatsCan_Market]]=""),"REVIEW","MAPPED")</f>
        <v>MAPPED</v>
      </c>
    </row>
    <row r="13" spans="1:11" ht="43.5" x14ac:dyDescent="0.35">
      <c r="A13" s="1" t="s">
        <v>134</v>
      </c>
      <c r="B13" s="1" t="s">
        <v>135</v>
      </c>
      <c r="C13" s="1" t="s">
        <v>135</v>
      </c>
      <c r="D13" s="1" t="s">
        <v>135</v>
      </c>
      <c r="E13" s="1" t="s">
        <v>112</v>
      </c>
      <c r="F13" t="str">
        <f>IF(OR(tblGeographyCrosswalk[[#This Row],[CMHC_Market]]="", tblGeographyCrosswalk[[#This Row],[StatsCan_Market]]=""),"REVIEW","MAPPED")</f>
        <v>MAPPED</v>
      </c>
    </row>
    <row r="14" spans="1:11" x14ac:dyDescent="0.35">
      <c r="A14" s="1" t="s">
        <v>136</v>
      </c>
      <c r="B14" s="1" t="s">
        <v>137</v>
      </c>
      <c r="C14" s="1" t="s">
        <v>137</v>
      </c>
      <c r="D14" s="1" t="s">
        <v>137</v>
      </c>
      <c r="E14" s="1" t="s">
        <v>112</v>
      </c>
      <c r="F14" t="str">
        <f>IF(OR(tblGeographyCrosswalk[[#This Row],[CMHC_Market]]="", tblGeographyCrosswalk[[#This Row],[StatsCan_Market]]=""),"REVIEW","MAPPED")</f>
        <v>MAPPED</v>
      </c>
    </row>
    <row r="15" spans="1:11" x14ac:dyDescent="0.35">
      <c r="A15" s="1" t="s">
        <v>138</v>
      </c>
      <c r="B15" s="1" t="s">
        <v>139</v>
      </c>
      <c r="C15" s="1" t="s">
        <v>139</v>
      </c>
      <c r="D15" s="1" t="s">
        <v>139</v>
      </c>
      <c r="E15" s="1" t="s">
        <v>112</v>
      </c>
      <c r="F15" t="str">
        <f>IF(OR(tblGeographyCrosswalk[[#This Row],[CMHC_Market]]="", tblGeographyCrosswalk[[#This Row],[StatsCan_Market]]=""),"REVIEW","MAPPED")</f>
        <v>MAPPED</v>
      </c>
    </row>
    <row r="16" spans="1:11" x14ac:dyDescent="0.35">
      <c r="A16" s="1" t="s">
        <v>140</v>
      </c>
      <c r="B16" s="1" t="s">
        <v>141</v>
      </c>
      <c r="C16" s="1" t="s">
        <v>141</v>
      </c>
      <c r="D16" s="1" t="s">
        <v>141</v>
      </c>
      <c r="E16" s="1" t="s">
        <v>112</v>
      </c>
      <c r="F16" t="str">
        <f>IF(OR(tblGeographyCrosswalk[[#This Row],[CMHC_Market]]="", tblGeographyCrosswalk[[#This Row],[StatsCan_Market]]=""),"REVIEW","MAPPED")</f>
        <v>MAPPED</v>
      </c>
    </row>
  </sheetData>
  <conditionalFormatting sqref="F2:F16">
    <cfRule type="containsText" dxfId="6" priority="1" operator="containsText" text="REVIEW">
      <formula>NOT(ISERROR(SEARCH("REVIEW",F2)))</formula>
    </cfRule>
    <cfRule type="containsText" dxfId="5" priority="2" operator="containsText" text="MAPPED">
      <formula>NOT(ISERROR(SEARCH("MAPPED",F2)))</formula>
    </cfRule>
  </conditionalFormatting>
  <dataValidations count="1">
    <dataValidation type="list" allowBlank="1" showInputMessage="1" showErrorMessage="1" sqref="H2:H5" xr:uid="{66DEDE3E-D8C9-4246-AB84-6134CF591FB4}">
      <formula1>"CMHC,StatsCan"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C051-5ADC-48C1-A8FC-869C63347300}">
  <dimension ref="A1:U7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1" max="1" width="7.81640625" style="6" customWidth="1"/>
    <col min="2" max="2" width="9.26953125" style="6" customWidth="1"/>
    <col min="3" max="3" width="22.81640625" style="1" bestFit="1" customWidth="1"/>
    <col min="4" max="4" width="22.90625" style="1" bestFit="1" customWidth="1"/>
    <col min="5" max="5" width="14.36328125" style="6" customWidth="1"/>
    <col min="6" max="6" width="8.1796875" style="6" customWidth="1"/>
    <col min="7" max="7" width="32.81640625" style="1" customWidth="1"/>
    <col min="8" max="8" width="8.7265625" style="6"/>
    <col min="9" max="9" width="10" style="6" customWidth="1"/>
    <col min="10" max="10" width="13.81640625" style="6" customWidth="1"/>
    <col min="11" max="11" width="12.6328125" style="6" customWidth="1"/>
    <col min="12" max="12" width="15.1796875" style="6" bestFit="1" customWidth="1"/>
    <col min="13" max="13" width="12.36328125" style="6" bestFit="1" customWidth="1"/>
    <col min="14" max="15" width="11.36328125" style="6" bestFit="1" customWidth="1"/>
    <col min="16" max="16" width="10.36328125" style="6" bestFit="1" customWidth="1"/>
    <col min="17" max="17" width="9.26953125" style="6" bestFit="1" customWidth="1"/>
    <col min="18" max="18" width="18.54296875" style="6" bestFit="1" customWidth="1"/>
    <col min="19" max="16384" width="8.7265625" style="6"/>
  </cols>
  <sheetData>
    <row r="1" spans="1:21" ht="43.5" x14ac:dyDescent="0.35">
      <c r="A1" s="6" t="s">
        <v>146</v>
      </c>
      <c r="B1" s="6" t="s">
        <v>1</v>
      </c>
      <c r="C1" s="1" t="s">
        <v>147</v>
      </c>
      <c r="D1" s="1" t="s">
        <v>150</v>
      </c>
      <c r="E1" s="6" t="s">
        <v>151</v>
      </c>
      <c r="F1" s="6" t="s">
        <v>148</v>
      </c>
      <c r="G1" s="1" t="s">
        <v>149</v>
      </c>
      <c r="I1" s="9" t="s">
        <v>175</v>
      </c>
      <c r="J1" s="9" t="s">
        <v>176</v>
      </c>
      <c r="K1" s="9" t="s">
        <v>177</v>
      </c>
      <c r="L1" s="9" t="s">
        <v>178</v>
      </c>
      <c r="M1" s="9" t="s">
        <v>179</v>
      </c>
      <c r="N1" s="9" t="s">
        <v>180</v>
      </c>
      <c r="O1" s="9" t="s">
        <v>181</v>
      </c>
      <c r="P1" s="9" t="s">
        <v>182</v>
      </c>
      <c r="Q1" s="9" t="s">
        <v>183</v>
      </c>
      <c r="R1" s="9" t="s">
        <v>184</v>
      </c>
      <c r="T1" s="2" t="s">
        <v>190</v>
      </c>
      <c r="U1" s="2" t="s">
        <v>35</v>
      </c>
    </row>
    <row r="2" spans="1:21" ht="43.5" x14ac:dyDescent="0.35">
      <c r="A2" s="6" t="s">
        <v>152</v>
      </c>
      <c r="B2" s="6" t="s">
        <v>9</v>
      </c>
      <c r="C2" s="1" t="s">
        <v>159</v>
      </c>
      <c r="D2" s="1" t="s">
        <v>160</v>
      </c>
      <c r="E2" s="6" t="s">
        <v>160</v>
      </c>
      <c r="F2" s="6" t="s">
        <v>171</v>
      </c>
      <c r="G2" s="1" t="s">
        <v>172</v>
      </c>
      <c r="I2" s="1" t="s">
        <v>139</v>
      </c>
      <c r="J2" s="1" t="s">
        <v>66</v>
      </c>
      <c r="K2" s="1" t="s">
        <v>185</v>
      </c>
      <c r="L2" s="1">
        <v>2024</v>
      </c>
      <c r="M2" s="1">
        <v>2024</v>
      </c>
      <c r="N2" s="1">
        <v>2025</v>
      </c>
      <c r="O2" s="7">
        <v>1974</v>
      </c>
      <c r="P2" s="7">
        <v>1974</v>
      </c>
      <c r="Q2" s="7">
        <f>P2-O2</f>
        <v>0</v>
      </c>
      <c r="R2" s="6" t="str">
        <f>IF(Q2=0,"MATCH","REVIEW")</f>
        <v>MATCH</v>
      </c>
      <c r="T2" s="1" t="s">
        <v>191</v>
      </c>
      <c r="U2" s="1">
        <f>ROWS(tblQAChecks[QA_ID])</f>
        <v>6</v>
      </c>
    </row>
    <row r="3" spans="1:21" ht="29" x14ac:dyDescent="0.35">
      <c r="A3" s="6" t="s">
        <v>153</v>
      </c>
      <c r="B3" s="6" t="s">
        <v>9</v>
      </c>
      <c r="C3" s="1" t="s">
        <v>161</v>
      </c>
      <c r="D3" s="1" t="s">
        <v>162</v>
      </c>
      <c r="E3" s="6" t="s">
        <v>162</v>
      </c>
      <c r="F3" s="6" t="s">
        <v>171</v>
      </c>
      <c r="G3" s="1" t="s">
        <v>173</v>
      </c>
      <c r="I3" s="1" t="s">
        <v>139</v>
      </c>
      <c r="J3" s="1" t="s">
        <v>73</v>
      </c>
      <c r="K3" s="1" t="s">
        <v>185</v>
      </c>
      <c r="L3" s="1">
        <v>2024</v>
      </c>
      <c r="M3" s="1">
        <v>2024</v>
      </c>
      <c r="N3" s="1">
        <v>2025</v>
      </c>
      <c r="O3" s="6">
        <v>1.9</v>
      </c>
      <c r="P3" s="6">
        <v>1.9</v>
      </c>
      <c r="Q3" s="7">
        <f t="shared" ref="Q3:Q4" si="0">P3-O3</f>
        <v>0</v>
      </c>
      <c r="R3" s="6" t="str">
        <f t="shared" ref="R3:R4" si="1">IF(Q3=0,"MATCH","REVIEW")</f>
        <v>MATCH</v>
      </c>
      <c r="T3" s="1" t="s">
        <v>192</v>
      </c>
      <c r="U3" s="1">
        <f>COUNTIF(tblQAChecks[Status], "PASS")</f>
        <v>6</v>
      </c>
    </row>
    <row r="4" spans="1:21" ht="43.5" x14ac:dyDescent="0.35">
      <c r="A4" s="6" t="s">
        <v>154</v>
      </c>
      <c r="B4" s="6" t="s">
        <v>9</v>
      </c>
      <c r="C4" s="1" t="s">
        <v>163</v>
      </c>
      <c r="D4" s="1" t="s">
        <v>164</v>
      </c>
      <c r="E4" s="6" t="s">
        <v>164</v>
      </c>
      <c r="F4" s="6" t="s">
        <v>171</v>
      </c>
      <c r="G4" s="1" t="s">
        <v>174</v>
      </c>
      <c r="I4" s="1" t="s">
        <v>139</v>
      </c>
      <c r="J4" s="1" t="s">
        <v>78</v>
      </c>
      <c r="K4" s="1" t="s">
        <v>185</v>
      </c>
      <c r="L4" s="1">
        <v>2024</v>
      </c>
      <c r="M4" s="1">
        <v>2024</v>
      </c>
      <c r="N4" s="1">
        <v>2025</v>
      </c>
      <c r="O4" s="8">
        <v>143941</v>
      </c>
      <c r="P4" s="7">
        <v>143941</v>
      </c>
      <c r="Q4" s="7">
        <f t="shared" si="0"/>
        <v>0</v>
      </c>
      <c r="R4" s="6" t="str">
        <f t="shared" si="1"/>
        <v>MATCH</v>
      </c>
      <c r="T4" s="1" t="s">
        <v>193</v>
      </c>
      <c r="U4" s="1">
        <f>COUNTIF(tblQAChecks[Status], "REVIEW")</f>
        <v>0</v>
      </c>
    </row>
    <row r="5" spans="1:21" ht="72.5" x14ac:dyDescent="0.35">
      <c r="A5" s="6" t="s">
        <v>155</v>
      </c>
      <c r="B5" s="6" t="s">
        <v>9</v>
      </c>
      <c r="C5" s="1" t="s">
        <v>165</v>
      </c>
      <c r="D5" s="1" t="s">
        <v>166</v>
      </c>
      <c r="E5" s="1" t="s">
        <v>186</v>
      </c>
      <c r="F5" s="6" t="s">
        <v>171</v>
      </c>
      <c r="G5" s="1" t="s">
        <v>187</v>
      </c>
      <c r="T5" s="1" t="s">
        <v>194</v>
      </c>
      <c r="U5" s="1">
        <f>COUNTIF(tblQAChecks[Status], "FAIL")</f>
        <v>0</v>
      </c>
    </row>
    <row r="6" spans="1:21" ht="58" x14ac:dyDescent="0.35">
      <c r="A6" s="6" t="s">
        <v>156</v>
      </c>
      <c r="B6" s="6" t="s">
        <v>90</v>
      </c>
      <c r="C6" s="1" t="s">
        <v>167</v>
      </c>
      <c r="D6" s="1" t="s">
        <v>168</v>
      </c>
      <c r="E6" s="6" t="s">
        <v>168</v>
      </c>
      <c r="F6" s="6" t="s">
        <v>171</v>
      </c>
      <c r="G6" s="1" t="s">
        <v>188</v>
      </c>
    </row>
    <row r="7" spans="1:21" ht="43.5" x14ac:dyDescent="0.35">
      <c r="A7" s="6" t="s">
        <v>157</v>
      </c>
      <c r="B7" s="6" t="s">
        <v>158</v>
      </c>
      <c r="C7" s="1" t="s">
        <v>169</v>
      </c>
      <c r="D7" s="1" t="s">
        <v>170</v>
      </c>
      <c r="E7" s="6" t="s">
        <v>170</v>
      </c>
      <c r="F7" s="6" t="s">
        <v>171</v>
      </c>
      <c r="G7" s="1" t="s">
        <v>189</v>
      </c>
    </row>
  </sheetData>
  <conditionalFormatting sqref="F2:F7">
    <cfRule type="containsText" dxfId="4" priority="3" operator="containsText" text="FAIL">
      <formula>NOT(ISERROR(SEARCH("FAIL",F2)))</formula>
    </cfRule>
    <cfRule type="containsText" dxfId="3" priority="4" operator="containsText" text="REVIEW">
      <formula>NOT(ISERROR(SEARCH("REVIEW",F2)))</formula>
    </cfRule>
    <cfRule type="containsText" dxfId="2" priority="5" operator="containsText" text="PASS">
      <formula>NOT(ISERROR(SEARCH("PASS",F2)))</formula>
    </cfRule>
  </conditionalFormatting>
  <conditionalFormatting sqref="R2:R4">
    <cfRule type="cellIs" dxfId="1" priority="1" operator="equal">
      <formula>"REVIEW"</formula>
    </cfRule>
    <cfRule type="containsText" dxfId="0" priority="2" operator="containsText" text="MATCH">
      <formula>NOT(ISERROR(SEARCH("MATCH",R2)))</formula>
    </cfRule>
  </conditionalFormatting>
  <dataValidations count="1">
    <dataValidation type="list" allowBlank="1" showInputMessage="1" showErrorMessage="1" sqref="F2:F7" xr:uid="{1C030947-F8E8-47B6-B087-582DB45495A6}">
      <formula1>"PASS,REVIEW,FAIL"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01_Source_Inventory</vt:lpstr>
      <vt:lpstr>02_Data_Dictionary</vt:lpstr>
      <vt:lpstr>03_Geography_Crosswalk</vt:lpstr>
      <vt:lpstr>04_QA_Checks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Chidera Amadike</dc:creator>
  <cp:lastModifiedBy>Chidera Amadike</cp:lastModifiedBy>
  <dcterms:created xsi:type="dcterms:W3CDTF">2026-09-15T02:01:41Z</dcterms:created>
  <dcterms:modified xsi:type="dcterms:W3CDTF">2026-09-29T19:50:25Z</dcterms:modified>
</cp:coreProperties>
</file>